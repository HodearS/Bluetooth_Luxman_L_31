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t Kicad\Module Bluetooth Pour Luxman L-31\Bluetooth_L_31_buck_ilot\"/>
    </mc:Choice>
  </mc:AlternateContent>
  <xr:revisionPtr revIDLastSave="0" documentId="13_ncr:1_{DB6ED921-9D86-4A5D-9B5E-73691CE30B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J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H38" i="1" l="1"/>
</calcChain>
</file>

<file path=xl/sharedStrings.xml><?xml version="1.0" encoding="utf-8"?>
<sst xmlns="http://schemas.openxmlformats.org/spreadsheetml/2006/main" count="242" uniqueCount="181">
  <si>
    <t>Component</t>
  </si>
  <si>
    <t>References</t>
  </si>
  <si>
    <t>Description</t>
  </si>
  <si>
    <t>Value</t>
  </si>
  <si>
    <t>Footprint</t>
  </si>
  <si>
    <t>Quantity Per PCB</t>
  </si>
  <si>
    <t>1</t>
  </si>
  <si>
    <t>C15</t>
  </si>
  <si>
    <t>GRM2165C2A331JA01D</t>
  </si>
  <si>
    <t>330pF</t>
  </si>
  <si>
    <t>C_0805_2012Metric</t>
  </si>
  <si>
    <t>2</t>
  </si>
  <si>
    <t>C5 C7</t>
  </si>
  <si>
    <t>08051A472KAT2A</t>
  </si>
  <si>
    <t>4700pF</t>
  </si>
  <si>
    <t>3</t>
  </si>
  <si>
    <t>C1 C11 C14 C23 C24</t>
  </si>
  <si>
    <t>CL21B104KCFSFNE</t>
  </si>
  <si>
    <t>100nF</t>
  </si>
  <si>
    <t>5</t>
  </si>
  <si>
    <t>4</t>
  </si>
  <si>
    <t>C2 C3 C9 C10 C13 C16 C17 C22</t>
  </si>
  <si>
    <t>CL21B105KBFNNNF</t>
  </si>
  <si>
    <t>1uF</t>
  </si>
  <si>
    <t>8</t>
  </si>
  <si>
    <t>C19</t>
  </si>
  <si>
    <t>CL21B225KAFNNNF</t>
  </si>
  <si>
    <t>2.2uF</t>
  </si>
  <si>
    <t>6</t>
  </si>
  <si>
    <t>C6 C8</t>
  </si>
  <si>
    <t>GRM32DL8EL475KE07L</t>
  </si>
  <si>
    <t>4.7uF</t>
  </si>
  <si>
    <t>C_1210_3225Metric</t>
  </si>
  <si>
    <t>7</t>
  </si>
  <si>
    <t>C12 C20 C21</t>
  </si>
  <si>
    <t>GRM21BZ71E106KE15K</t>
  </si>
  <si>
    <t>10uF</t>
  </si>
  <si>
    <t>C4</t>
  </si>
  <si>
    <t>CL32B106KMVNNWE</t>
  </si>
  <si>
    <t>9</t>
  </si>
  <si>
    <t>C18</t>
  </si>
  <si>
    <t>CL32B226KAJNNNE</t>
  </si>
  <si>
    <t>22uF</t>
  </si>
  <si>
    <t>10</t>
  </si>
  <si>
    <t>D3</t>
  </si>
  <si>
    <t>100V 0.15A standard switching diode, DO-35</t>
  </si>
  <si>
    <t>1N4148</t>
  </si>
  <si>
    <t>D_SOD-123</t>
  </si>
  <si>
    <t>11</t>
  </si>
  <si>
    <t>D1</t>
  </si>
  <si>
    <t>B360-13-F</t>
  </si>
  <si>
    <t>B360</t>
  </si>
  <si>
    <t>D_SMC</t>
  </si>
  <si>
    <t>12</t>
  </si>
  <si>
    <t>D4</t>
  </si>
  <si>
    <t>150080GS75000</t>
  </si>
  <si>
    <t>LED</t>
  </si>
  <si>
    <t>LED_0805_2012Metric</t>
  </si>
  <si>
    <t>13</t>
  </si>
  <si>
    <t>D2</t>
  </si>
  <si>
    <t>SMAJ48A</t>
  </si>
  <si>
    <t>D_SMA</t>
  </si>
  <si>
    <t>14</t>
  </si>
  <si>
    <t>J1</t>
  </si>
  <si>
    <t>1727010</t>
  </si>
  <si>
    <t>PHOENIX_1727010</t>
  </si>
  <si>
    <t>15</t>
  </si>
  <si>
    <t>J2 J3</t>
  </si>
  <si>
    <t>1727023</t>
  </si>
  <si>
    <t>PHOENIX_1727023</t>
  </si>
  <si>
    <t>16</t>
  </si>
  <si>
    <t>J4</t>
  </si>
  <si>
    <t>B3B-PH-SM4-TB(LF)(SN)</t>
  </si>
  <si>
    <t>B3B-PH-SM4-TB_LF__SN_</t>
  </si>
  <si>
    <t>JST_B3B-PH-SM4-TB_LF__SN_</t>
  </si>
  <si>
    <t>17</t>
  </si>
  <si>
    <t>K1</t>
  </si>
  <si>
    <t>G6K-2F-Y-DC3</t>
  </si>
  <si>
    <t>G6K-2F-Y DC3</t>
  </si>
  <si>
    <t>Relay_DPDT_Omron_G6K-2F-Y</t>
  </si>
  <si>
    <t>18</t>
  </si>
  <si>
    <t>L1</t>
  </si>
  <si>
    <t>LQH32PN1R0NN0L</t>
  </si>
  <si>
    <t>820nH</t>
  </si>
  <si>
    <t>L_1210_3225Metric</t>
  </si>
  <si>
    <t>19</t>
  </si>
  <si>
    <t>L2</t>
  </si>
  <si>
    <t>SRN4018-470M</t>
  </si>
  <si>
    <t>47uH</t>
  </si>
  <si>
    <t>L_Bourns-SRN4018</t>
  </si>
  <si>
    <t>20</t>
  </si>
  <si>
    <t>Q1 Q2</t>
  </si>
  <si>
    <t>2N7002LT1G</t>
  </si>
  <si>
    <t>2N7002</t>
  </si>
  <si>
    <t>SOT-23-3</t>
  </si>
  <si>
    <t>21</t>
  </si>
  <si>
    <t>R6 R9</t>
  </si>
  <si>
    <t>Resistor, small symbol</t>
  </si>
  <si>
    <t>100m</t>
  </si>
  <si>
    <t>R_0805_2012Metric</t>
  </si>
  <si>
    <t>2 (DNF)</t>
  </si>
  <si>
    <t>22</t>
  </si>
  <si>
    <t>R3</t>
  </si>
  <si>
    <t>1 (DNF)</t>
  </si>
  <si>
    <t>23</t>
  </si>
  <si>
    <t>R10</t>
  </si>
  <si>
    <t>24</t>
  </si>
  <si>
    <t>R4 R20 R21 R22</t>
  </si>
  <si>
    <t>RC0805FR-0733RL</t>
  </si>
  <si>
    <t>33</t>
  </si>
  <si>
    <t>25</t>
  </si>
  <si>
    <t>R2 R5</t>
  </si>
  <si>
    <t>ERA-6AEB471V</t>
  </si>
  <si>
    <t>470</t>
  </si>
  <si>
    <t>26</t>
  </si>
  <si>
    <t>R14 R17 R19</t>
  </si>
  <si>
    <t>RC0805FR-071KL</t>
  </si>
  <si>
    <t>1k</t>
  </si>
  <si>
    <t>27</t>
  </si>
  <si>
    <t>R1 R8 R16 R23</t>
  </si>
  <si>
    <t>RC0805FR-0710KL</t>
  </si>
  <si>
    <t>10k</t>
  </si>
  <si>
    <t>28</t>
  </si>
  <si>
    <t>R12</t>
  </si>
  <si>
    <t>RC0805FR-0719K1L</t>
  </si>
  <si>
    <t>19.1k</t>
  </si>
  <si>
    <t>29</t>
  </si>
  <si>
    <t>R11 R13 R15 R18</t>
  </si>
  <si>
    <t>RC0805FR-07100KL</t>
  </si>
  <si>
    <t>100k</t>
  </si>
  <si>
    <t>30</t>
  </si>
  <si>
    <t>R7</t>
  </si>
  <si>
    <t>RC0805FR-07280KL</t>
  </si>
  <si>
    <t>280k</t>
  </si>
  <si>
    <t>31</t>
  </si>
  <si>
    <t>SW1</t>
  </si>
  <si>
    <t>B3U-1000PM</t>
  </si>
  <si>
    <t>B3U-1000P(M)</t>
  </si>
  <si>
    <t>SW_B3U-1000PM</t>
  </si>
  <si>
    <t>32</t>
  </si>
  <si>
    <t>U5</t>
  </si>
  <si>
    <t>FSC-BT1026E</t>
  </si>
  <si>
    <t>FSC-BT1026x</t>
  </si>
  <si>
    <t>U3</t>
  </si>
  <si>
    <t>LMR51606XFQDBVRQ1</t>
  </si>
  <si>
    <t>LMR51606FPWM</t>
  </si>
  <si>
    <t>SOT-23-6</t>
  </si>
  <si>
    <t>34</t>
  </si>
  <si>
    <t>U1 U2</t>
  </si>
  <si>
    <t>TPS7A2033PDBVR</t>
  </si>
  <si>
    <t>~</t>
  </si>
  <si>
    <t>SOT-23-5</t>
  </si>
  <si>
    <t>35</t>
  </si>
  <si>
    <t>U4</t>
  </si>
  <si>
    <t>ES9023P</t>
  </si>
  <si>
    <t>SOP-16_4.4x10.4mm_P1.27mm</t>
  </si>
  <si>
    <t>36</t>
  </si>
  <si>
    <t>Y1</t>
  </si>
  <si>
    <t>SG-210STF 50.0000ML</t>
  </si>
  <si>
    <t>Oscillator_SMD_SeikoEpson_SG210-4Pin_2.5x2.0mm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</si>
  <si>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</si>
  <si>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</si>
  <si>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</si>
  <si>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</si>
  <si>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</si>
  <si>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</si>
  <si>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V1.0</t>
  </si>
  <si>
    <t>Schematic Date:</t>
  </si>
  <si>
    <t>2026-06-17</t>
  </si>
  <si>
    <t>BoM Date:</t>
  </si>
  <si>
    <t>2026-06-19T23:25:48</t>
  </si>
  <si>
    <t>Schematic Source:</t>
  </si>
  <si>
    <t>Bluetooth_L_31.kicad_sch</t>
  </si>
  <si>
    <t>KiCad Version:</t>
  </si>
  <si>
    <t>Eeschema 10.0.3</t>
  </si>
  <si>
    <t>Prix/unité</t>
  </si>
  <si>
    <t>Total</t>
  </si>
  <si>
    <t>Coût total/cartes</t>
  </si>
  <si>
    <t>Total/commande</t>
  </si>
  <si>
    <t>Quantité/commande</t>
  </si>
  <si>
    <t>RC0805FR-073RL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</si>
</sst>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C24" sqref="C24"/>
    </sheetView>
  </sheetViews>
  <sheetFormatPr baseColWidth="10" defaultColWidth="9.140625" defaultRowHeight="15" x14ac:dyDescent="0.25"/>
  <cols>
    <col min="1" max="1" width="19.7109375" customWidth="1"/>
    <col min="2" max="2" width="33.7109375" customWidth="1"/>
    <col min="3" max="3" width="47.7109375" customWidth="1"/>
    <col min="4" max="4" width="26.7109375" customWidth="1"/>
    <col min="5" max="5" width="51.7109375" customWidth="1"/>
    <col min="6" max="6" width="32.140625" customWidth="1"/>
    <col min="7" max="7" width="11.5703125" customWidth="1"/>
    <col min="9" max="9" width="21.42578125" customWidth="1"/>
    <col min="10" max="10" width="1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175</v>
      </c>
      <c r="H1" s="1" t="s">
        <v>176</v>
      </c>
      <c r="I1" s="1" t="s">
        <v>179</v>
      </c>
      <c r="J1" s="1" t="s">
        <v>178</v>
      </c>
    </row>
    <row r="2" spans="1:1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</v>
      </c>
      <c r="G2">
        <v>7.3999999999999996E-2</v>
      </c>
      <c r="H2">
        <f>F2*G2</f>
        <v>7.3999999999999996E-2</v>
      </c>
      <c r="I2">
        <v>10</v>
      </c>
      <c r="J2">
        <f>I2*G2</f>
        <v>0.74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11</v>
      </c>
      <c r="G3">
        <v>0.29499999999999998</v>
      </c>
      <c r="H3">
        <f t="shared" ref="H3:H37" si="0">F3*G3</f>
        <v>0.59</v>
      </c>
      <c r="I3">
        <v>10</v>
      </c>
      <c r="J3">
        <f t="shared" ref="J3:J37" si="1">I3*G3</f>
        <v>2.9499999999999997</v>
      </c>
    </row>
    <row r="4" spans="1:10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  <c r="G4">
        <v>2.7E-2</v>
      </c>
      <c r="H4">
        <f t="shared" si="0"/>
        <v>0.13500000000000001</v>
      </c>
      <c r="I4">
        <v>20</v>
      </c>
      <c r="J4">
        <f t="shared" si="1"/>
        <v>0.54</v>
      </c>
    </row>
    <row r="5" spans="1:1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24</v>
      </c>
      <c r="G5">
        <v>3.7999999999999999E-2</v>
      </c>
      <c r="H5">
        <f t="shared" si="0"/>
        <v>0.30399999999999999</v>
      </c>
      <c r="I5">
        <v>20</v>
      </c>
      <c r="J5">
        <f t="shared" si="1"/>
        <v>0.76</v>
      </c>
    </row>
    <row r="6" spans="1:10" x14ac:dyDescent="0.25">
      <c r="A6" s="1" t="s">
        <v>19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6</v>
      </c>
      <c r="G6">
        <v>4.1000000000000002E-2</v>
      </c>
      <c r="H6">
        <f t="shared" si="0"/>
        <v>4.1000000000000002E-2</v>
      </c>
      <c r="I6">
        <v>10</v>
      </c>
      <c r="J6">
        <f t="shared" si="1"/>
        <v>0.41000000000000003</v>
      </c>
    </row>
    <row r="7" spans="1:10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11</v>
      </c>
      <c r="G7">
        <v>3.61E-2</v>
      </c>
      <c r="H7">
        <f t="shared" si="0"/>
        <v>7.22E-2</v>
      </c>
      <c r="I7">
        <v>10</v>
      </c>
      <c r="J7">
        <f t="shared" si="1"/>
        <v>0.36099999999999999</v>
      </c>
    </row>
    <row r="8" spans="1:10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10</v>
      </c>
      <c r="F8" s="1" t="s">
        <v>15</v>
      </c>
      <c r="G8">
        <v>0.11899999999999999</v>
      </c>
      <c r="H8">
        <f t="shared" si="0"/>
        <v>0.35699999999999998</v>
      </c>
      <c r="I8">
        <v>10</v>
      </c>
      <c r="J8">
        <f t="shared" si="1"/>
        <v>1.19</v>
      </c>
    </row>
    <row r="9" spans="1:10" x14ac:dyDescent="0.25">
      <c r="A9" s="1" t="s">
        <v>24</v>
      </c>
      <c r="B9" s="1" t="s">
        <v>37</v>
      </c>
      <c r="C9" s="1" t="s">
        <v>38</v>
      </c>
      <c r="D9" s="1" t="s">
        <v>36</v>
      </c>
      <c r="E9" s="1" t="s">
        <v>32</v>
      </c>
      <c r="F9" s="1" t="s">
        <v>6</v>
      </c>
      <c r="G9">
        <v>0.38</v>
      </c>
      <c r="H9">
        <f t="shared" si="0"/>
        <v>0.38</v>
      </c>
      <c r="I9">
        <v>10</v>
      </c>
      <c r="J9">
        <f t="shared" si="1"/>
        <v>3.8</v>
      </c>
    </row>
    <row r="10" spans="1:10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32</v>
      </c>
      <c r="F10" s="1" t="s">
        <v>6</v>
      </c>
      <c r="G10">
        <v>0.23799999999999999</v>
      </c>
      <c r="H10">
        <f t="shared" si="0"/>
        <v>0.23799999999999999</v>
      </c>
      <c r="I10">
        <v>10</v>
      </c>
      <c r="J10">
        <f t="shared" si="1"/>
        <v>2.38</v>
      </c>
    </row>
    <row r="11" spans="1:10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6</v>
      </c>
      <c r="G11">
        <v>8.6999999999999994E-2</v>
      </c>
      <c r="H11">
        <f t="shared" si="0"/>
        <v>8.6999999999999994E-2</v>
      </c>
      <c r="I11">
        <v>10</v>
      </c>
      <c r="J11">
        <f t="shared" si="1"/>
        <v>0.86999999999999988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6</v>
      </c>
      <c r="G12">
        <v>0.35</v>
      </c>
      <c r="H12">
        <f t="shared" si="0"/>
        <v>0.35</v>
      </c>
      <c r="I12">
        <v>10</v>
      </c>
      <c r="J12">
        <f t="shared" si="1"/>
        <v>3.5</v>
      </c>
    </row>
    <row r="13" spans="1:10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6</v>
      </c>
      <c r="G13">
        <v>0.161</v>
      </c>
      <c r="H13">
        <f t="shared" si="0"/>
        <v>0.161</v>
      </c>
      <c r="I13">
        <v>10</v>
      </c>
      <c r="J13">
        <f t="shared" si="1"/>
        <v>1.61</v>
      </c>
    </row>
    <row r="14" spans="1:10" x14ac:dyDescent="0.25">
      <c r="A14" s="1" t="s">
        <v>58</v>
      </c>
      <c r="B14" s="1" t="s">
        <v>59</v>
      </c>
      <c r="C14" s="1" t="s">
        <v>60</v>
      </c>
      <c r="D14" s="1" t="s">
        <v>60</v>
      </c>
      <c r="E14" s="1" t="s">
        <v>61</v>
      </c>
      <c r="F14" s="1" t="s">
        <v>6</v>
      </c>
      <c r="G14">
        <v>0.27500000000000002</v>
      </c>
      <c r="H14">
        <f t="shared" si="0"/>
        <v>0.27500000000000002</v>
      </c>
      <c r="I14">
        <v>10</v>
      </c>
      <c r="J14">
        <f t="shared" si="1"/>
        <v>2.75</v>
      </c>
    </row>
    <row r="15" spans="1:10" x14ac:dyDescent="0.25">
      <c r="A15" s="1" t="s">
        <v>62</v>
      </c>
      <c r="B15" s="1" t="s">
        <v>63</v>
      </c>
      <c r="C15" s="1" t="s">
        <v>64</v>
      </c>
      <c r="D15" s="1" t="s">
        <v>64</v>
      </c>
      <c r="E15" s="1" t="s">
        <v>65</v>
      </c>
      <c r="F15" s="1" t="s">
        <v>6</v>
      </c>
      <c r="G15">
        <v>0.97199999999999998</v>
      </c>
      <c r="H15">
        <f t="shared" si="0"/>
        <v>0.97199999999999998</v>
      </c>
      <c r="I15">
        <v>2</v>
      </c>
      <c r="J15">
        <f t="shared" si="1"/>
        <v>1.944</v>
      </c>
    </row>
    <row r="16" spans="1:10" x14ac:dyDescent="0.25">
      <c r="A16" s="1" t="s">
        <v>66</v>
      </c>
      <c r="B16" s="1" t="s">
        <v>67</v>
      </c>
      <c r="C16" s="1" t="s">
        <v>68</v>
      </c>
      <c r="D16" s="1" t="s">
        <v>68</v>
      </c>
      <c r="E16" s="1" t="s">
        <v>69</v>
      </c>
      <c r="F16" s="1" t="s">
        <v>11</v>
      </c>
      <c r="G16">
        <v>1.45</v>
      </c>
      <c r="H16">
        <f t="shared" si="0"/>
        <v>2.9</v>
      </c>
      <c r="I16">
        <v>4</v>
      </c>
      <c r="J16">
        <f t="shared" si="1"/>
        <v>5.8</v>
      </c>
    </row>
    <row r="17" spans="1:10" x14ac:dyDescent="0.25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6</v>
      </c>
      <c r="G17">
        <v>0.38700000000000001</v>
      </c>
      <c r="H17">
        <f t="shared" si="0"/>
        <v>0.38700000000000001</v>
      </c>
      <c r="I17">
        <v>2</v>
      </c>
      <c r="J17">
        <f t="shared" si="1"/>
        <v>0.77400000000000002</v>
      </c>
    </row>
    <row r="18" spans="1:10" x14ac:dyDescent="0.2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6</v>
      </c>
      <c r="G18">
        <v>3.15</v>
      </c>
      <c r="H18">
        <f t="shared" si="0"/>
        <v>3.15</v>
      </c>
      <c r="I18">
        <v>2</v>
      </c>
      <c r="J18">
        <f t="shared" si="1"/>
        <v>6.3</v>
      </c>
    </row>
    <row r="19" spans="1:10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6</v>
      </c>
      <c r="G19">
        <v>0.188</v>
      </c>
      <c r="H19">
        <f t="shared" si="0"/>
        <v>0.188</v>
      </c>
      <c r="I19">
        <v>10</v>
      </c>
      <c r="J19">
        <f t="shared" si="1"/>
        <v>1.88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6</v>
      </c>
      <c r="G20">
        <v>0.26400000000000001</v>
      </c>
      <c r="H20">
        <f t="shared" si="0"/>
        <v>0.26400000000000001</v>
      </c>
      <c r="I20">
        <v>10</v>
      </c>
      <c r="J20">
        <f t="shared" si="1"/>
        <v>2.64</v>
      </c>
    </row>
    <row r="21" spans="1:10" x14ac:dyDescent="0.25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11</v>
      </c>
      <c r="G21">
        <v>0.16400000000000001</v>
      </c>
      <c r="H21">
        <f t="shared" si="0"/>
        <v>0.32800000000000001</v>
      </c>
      <c r="I21">
        <v>10</v>
      </c>
      <c r="J21">
        <f t="shared" si="1"/>
        <v>1.6400000000000001</v>
      </c>
    </row>
    <row r="22" spans="1:10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99</v>
      </c>
      <c r="F22" s="1" t="s">
        <v>100</v>
      </c>
      <c r="J22">
        <f t="shared" si="1"/>
        <v>0</v>
      </c>
    </row>
    <row r="23" spans="1:10" x14ac:dyDescent="0.25">
      <c r="A23" s="1" t="s">
        <v>101</v>
      </c>
      <c r="B23" s="1" t="s">
        <v>102</v>
      </c>
      <c r="C23" s="1" t="s">
        <v>97</v>
      </c>
      <c r="D23" s="1" t="s">
        <v>6</v>
      </c>
      <c r="E23" s="1" t="s">
        <v>99</v>
      </c>
      <c r="F23" s="1" t="s">
        <v>103</v>
      </c>
      <c r="J23">
        <f t="shared" si="1"/>
        <v>0</v>
      </c>
    </row>
    <row r="24" spans="1:10" x14ac:dyDescent="0.25">
      <c r="A24" s="1" t="s">
        <v>104</v>
      </c>
      <c r="B24" s="1" t="s">
        <v>105</v>
      </c>
      <c r="C24" s="1" t="s">
        <v>180</v>
      </c>
      <c r="D24" s="1" t="s">
        <v>15</v>
      </c>
      <c r="E24" s="1" t="s">
        <v>99</v>
      </c>
      <c r="F24" s="1" t="s">
        <v>6</v>
      </c>
      <c r="G24">
        <v>2.4E-2</v>
      </c>
      <c r="H24">
        <f t="shared" si="0"/>
        <v>2.4E-2</v>
      </c>
      <c r="I24">
        <v>10</v>
      </c>
      <c r="J24">
        <f t="shared" si="1"/>
        <v>0.24</v>
      </c>
    </row>
    <row r="25" spans="1:10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99</v>
      </c>
      <c r="F25" s="1" t="s">
        <v>20</v>
      </c>
      <c r="G25">
        <v>1.4999999999999999E-2</v>
      </c>
      <c r="H25">
        <f t="shared" si="0"/>
        <v>0.06</v>
      </c>
      <c r="I25">
        <v>10</v>
      </c>
      <c r="J25">
        <f t="shared" si="1"/>
        <v>0.15</v>
      </c>
    </row>
    <row r="26" spans="1:10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99</v>
      </c>
      <c r="F26" s="1" t="s">
        <v>11</v>
      </c>
      <c r="G26">
        <v>6.4000000000000001E-2</v>
      </c>
      <c r="H26">
        <f t="shared" si="0"/>
        <v>0.128</v>
      </c>
      <c r="I26">
        <v>10</v>
      </c>
      <c r="J26">
        <f t="shared" si="1"/>
        <v>0.64</v>
      </c>
    </row>
    <row r="27" spans="1:10" x14ac:dyDescent="0.25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99</v>
      </c>
      <c r="F27" s="1" t="s">
        <v>15</v>
      </c>
      <c r="G27">
        <v>1.7999999999999999E-2</v>
      </c>
      <c r="H27">
        <f t="shared" si="0"/>
        <v>5.3999999999999992E-2</v>
      </c>
      <c r="I27">
        <v>10</v>
      </c>
      <c r="J27">
        <f t="shared" si="1"/>
        <v>0.18</v>
      </c>
    </row>
    <row r="28" spans="1:10" x14ac:dyDescent="0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99</v>
      </c>
      <c r="F28" s="1" t="s">
        <v>20</v>
      </c>
      <c r="G28">
        <v>1.7999999999999999E-2</v>
      </c>
      <c r="H28">
        <f t="shared" si="0"/>
        <v>7.1999999999999995E-2</v>
      </c>
      <c r="I28">
        <v>10</v>
      </c>
      <c r="J28">
        <f t="shared" si="1"/>
        <v>0.18</v>
      </c>
    </row>
    <row r="29" spans="1:10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99</v>
      </c>
      <c r="F29" s="1" t="s">
        <v>6</v>
      </c>
      <c r="G29">
        <v>1.7000000000000001E-2</v>
      </c>
      <c r="H29">
        <f t="shared" si="0"/>
        <v>1.7000000000000001E-2</v>
      </c>
      <c r="I29">
        <v>10</v>
      </c>
      <c r="J29">
        <f t="shared" si="1"/>
        <v>0.17</v>
      </c>
    </row>
    <row r="30" spans="1:10" x14ac:dyDescent="0.25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99</v>
      </c>
      <c r="F30" s="1" t="s">
        <v>20</v>
      </c>
      <c r="G30">
        <v>1.7999999999999999E-2</v>
      </c>
      <c r="H30">
        <f t="shared" si="0"/>
        <v>7.1999999999999995E-2</v>
      </c>
      <c r="I30">
        <v>10</v>
      </c>
      <c r="J30">
        <f t="shared" si="1"/>
        <v>0.18</v>
      </c>
    </row>
    <row r="31" spans="1:10" x14ac:dyDescent="0.25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99</v>
      </c>
      <c r="F31" s="1" t="s">
        <v>6</v>
      </c>
      <c r="G31">
        <v>1.4999999999999999E-2</v>
      </c>
      <c r="H31">
        <f t="shared" si="0"/>
        <v>1.4999999999999999E-2</v>
      </c>
      <c r="I31">
        <v>10</v>
      </c>
      <c r="J31">
        <f t="shared" si="1"/>
        <v>0.15</v>
      </c>
    </row>
    <row r="32" spans="1:10" x14ac:dyDescent="0.2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138</v>
      </c>
      <c r="F32" s="1" t="s">
        <v>6</v>
      </c>
      <c r="G32">
        <v>1.08</v>
      </c>
      <c r="H32">
        <f t="shared" si="0"/>
        <v>1.08</v>
      </c>
      <c r="I32">
        <v>1</v>
      </c>
      <c r="J32">
        <f t="shared" si="1"/>
        <v>1.08</v>
      </c>
    </row>
    <row r="33" spans="1:10" x14ac:dyDescent="0.25">
      <c r="A33" s="1" t="s">
        <v>139</v>
      </c>
      <c r="B33" s="1" t="s">
        <v>140</v>
      </c>
      <c r="C33" s="1" t="s">
        <v>141</v>
      </c>
      <c r="D33" s="1" t="s">
        <v>141</v>
      </c>
      <c r="E33" s="1" t="s">
        <v>142</v>
      </c>
      <c r="F33" s="1" t="s">
        <v>6</v>
      </c>
      <c r="G33">
        <v>8</v>
      </c>
      <c r="H33">
        <f t="shared" si="0"/>
        <v>8</v>
      </c>
      <c r="I33">
        <v>1</v>
      </c>
      <c r="J33">
        <f t="shared" si="1"/>
        <v>8</v>
      </c>
    </row>
    <row r="34" spans="1:10" x14ac:dyDescent="0.25">
      <c r="A34" s="1" t="s">
        <v>109</v>
      </c>
      <c r="B34" s="1" t="s">
        <v>143</v>
      </c>
      <c r="C34" s="1" t="s">
        <v>144</v>
      </c>
      <c r="D34" s="1" t="s">
        <v>145</v>
      </c>
      <c r="E34" s="1" t="s">
        <v>146</v>
      </c>
      <c r="F34" s="1" t="s">
        <v>6</v>
      </c>
      <c r="G34">
        <v>1.4</v>
      </c>
      <c r="H34">
        <f t="shared" si="0"/>
        <v>1.4</v>
      </c>
      <c r="I34">
        <v>1</v>
      </c>
      <c r="J34">
        <f t="shared" si="1"/>
        <v>1.4</v>
      </c>
    </row>
    <row r="35" spans="1:10" x14ac:dyDescent="0.2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151</v>
      </c>
      <c r="F35" s="1" t="s">
        <v>11</v>
      </c>
      <c r="G35">
        <v>0.224</v>
      </c>
      <c r="H35">
        <f t="shared" si="0"/>
        <v>0.44800000000000001</v>
      </c>
      <c r="I35">
        <v>5</v>
      </c>
      <c r="J35">
        <f t="shared" si="1"/>
        <v>1.1200000000000001</v>
      </c>
    </row>
    <row r="36" spans="1:10" x14ac:dyDescent="0.25">
      <c r="A36" s="1" t="s">
        <v>152</v>
      </c>
      <c r="B36" s="1" t="s">
        <v>153</v>
      </c>
      <c r="C36" s="1" t="s">
        <v>154</v>
      </c>
      <c r="D36" s="1" t="s">
        <v>150</v>
      </c>
      <c r="E36" s="1" t="s">
        <v>155</v>
      </c>
      <c r="F36" s="1" t="s">
        <v>6</v>
      </c>
      <c r="G36">
        <v>1.19</v>
      </c>
      <c r="H36">
        <f t="shared" si="0"/>
        <v>1.19</v>
      </c>
      <c r="I36">
        <v>4</v>
      </c>
      <c r="J36">
        <f t="shared" si="1"/>
        <v>4.76</v>
      </c>
    </row>
    <row r="37" spans="1:10" x14ac:dyDescent="0.25">
      <c r="A37" s="1" t="s">
        <v>156</v>
      </c>
      <c r="B37" s="1" t="s">
        <v>157</v>
      </c>
      <c r="C37" s="1" t="s">
        <v>158</v>
      </c>
      <c r="D37" s="1" t="s">
        <v>158</v>
      </c>
      <c r="E37" s="1" t="s">
        <v>159</v>
      </c>
      <c r="F37" s="1" t="s">
        <v>6</v>
      </c>
      <c r="G37">
        <v>2.12</v>
      </c>
      <c r="H37">
        <f t="shared" si="0"/>
        <v>2.12</v>
      </c>
      <c r="I37">
        <v>1</v>
      </c>
      <c r="J37">
        <f t="shared" si="1"/>
        <v>2.12</v>
      </c>
    </row>
    <row r="38" spans="1:10" x14ac:dyDescent="0.25">
      <c r="G38" t="s">
        <v>177</v>
      </c>
      <c r="H38">
        <f>SUM(H2:H37)</f>
        <v>25.933199999999999</v>
      </c>
      <c r="I38">
        <f t="shared" ref="I38:J38" si="2">SUM(I2:I37)</f>
        <v>283</v>
      </c>
      <c r="J38">
        <f t="shared" si="2"/>
        <v>63.208999999999989</v>
      </c>
    </row>
    <row r="43" spans="1:10" x14ac:dyDescent="0.25">
      <c r="A43" s="1" t="s">
        <v>160</v>
      </c>
      <c r="B43" s="2">
        <v>36</v>
      </c>
    </row>
    <row r="44" spans="1:10" x14ac:dyDescent="0.25">
      <c r="A44" s="1" t="s">
        <v>161</v>
      </c>
      <c r="B44" s="2">
        <v>67</v>
      </c>
    </row>
    <row r="45" spans="1:10" x14ac:dyDescent="0.25">
      <c r="A45" s="1" t="s">
        <v>162</v>
      </c>
      <c r="B45" s="2">
        <v>64</v>
      </c>
    </row>
    <row r="46" spans="1:10" x14ac:dyDescent="0.25">
      <c r="A46" s="1" t="s">
        <v>163</v>
      </c>
      <c r="B46" s="2">
        <v>1</v>
      </c>
    </row>
    <row r="47" spans="1:10" x14ac:dyDescent="0.25">
      <c r="A47" s="1" t="s">
        <v>164</v>
      </c>
      <c r="B47" s="2">
        <v>64</v>
      </c>
    </row>
    <row r="48" spans="1:10" x14ac:dyDescent="0.25">
      <c r="A48" s="1" t="s">
        <v>165</v>
      </c>
      <c r="B48" s="2" t="s">
        <v>166</v>
      </c>
    </row>
    <row r="49" spans="1:2" x14ac:dyDescent="0.25">
      <c r="A49" s="1" t="s">
        <v>167</v>
      </c>
      <c r="B49" s="2" t="s">
        <v>168</v>
      </c>
    </row>
    <row r="50" spans="1:2" x14ac:dyDescent="0.25">
      <c r="A50" s="1" t="s">
        <v>169</v>
      </c>
      <c r="B50" s="2" t="s">
        <v>170</v>
      </c>
    </row>
    <row r="51" spans="1:2" x14ac:dyDescent="0.25">
      <c r="A51" s="1" t="s">
        <v>171</v>
      </c>
      <c r="B51" s="2" t="s">
        <v>172</v>
      </c>
    </row>
    <row r="52" spans="1:2" x14ac:dyDescent="0.25">
      <c r="A52" s="1" t="s">
        <v>173</v>
      </c>
      <c r="B52" s="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De Haro</cp:lastModifiedBy>
  <dcterms:created xsi:type="dcterms:W3CDTF">2026-06-19T21:25:48Z</dcterms:created>
  <dcterms:modified xsi:type="dcterms:W3CDTF">2026-06-19T21:48:22Z</dcterms:modified>
</cp:coreProperties>
</file>